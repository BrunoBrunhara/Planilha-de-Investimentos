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ursos\Excel com IA\Tabelas Inteligentes\"/>
    </mc:Choice>
  </mc:AlternateContent>
  <xr:revisionPtr revIDLastSave="0" documentId="13_ncr:1_{D47EAE93-73E4-4A93-B12B-2FDD2A836221}" xr6:coauthVersionLast="47" xr6:coauthVersionMax="47" xr10:uidLastSave="{00000000-0000-0000-0000-000000000000}"/>
  <bookViews>
    <workbookView xWindow="-120" yWindow="-120" windowWidth="29040" windowHeight="15720" xr2:uid="{46377BBA-BC6F-48F4-97FA-407957C59981}"/>
  </bookViews>
  <sheets>
    <sheet name="APP" sheetId="1" r:id="rId1"/>
    <sheet name="TABELA DE APOIO" sheetId="2" r:id="rId2"/>
  </sheets>
  <definedNames>
    <definedName name="Aporte">APP!$D$13</definedName>
    <definedName name="Patrimonio">APP!$D$16</definedName>
    <definedName name="Periodo">APP!$D$14</definedName>
    <definedName name="Rendimento">APP!$D$17</definedName>
    <definedName name="Rendimento_Carteira">APP!$D$9</definedName>
    <definedName name="Taxa_Mensal">APP!$D$15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1" i="1"/>
  <c r="C28" i="1"/>
  <c r="D16" i="1"/>
  <c r="D17" i="1" s="1"/>
  <c r="D10" i="1"/>
  <c r="C21" i="1"/>
  <c r="D21" i="1" s="1"/>
  <c r="C22" i="1"/>
  <c r="D22" i="1" s="1"/>
  <c r="C23" i="1"/>
  <c r="D23" i="1" s="1"/>
  <c r="C24" i="1"/>
  <c r="D24" i="1" s="1"/>
  <c r="C20" i="1"/>
  <c r="D20" i="1" s="1"/>
  <c r="D31" i="1" l="1"/>
  <c r="D36" i="1"/>
  <c r="D35" i="1"/>
  <c r="D34" i="1"/>
  <c r="D33" i="1"/>
  <c r="D32" i="1"/>
  <c r="D37" i="1"/>
</calcChain>
</file>

<file path=xl/sharedStrings.xml><?xml version="1.0" encoding="utf-8"?>
<sst xmlns="http://schemas.openxmlformats.org/spreadsheetml/2006/main" count="87" uniqueCount="51">
  <si>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</si>
  <si>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</si>
  <si>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</si>
  <si>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</si>
  <si>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</si>
  <si>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</si>
  <si>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</si>
  <si>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</si>
  <si>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</si>
  <si>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</si>
  <si>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</si>
  <si>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</si>
  <si>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</si>
  <si>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Rendimento de Carteira</t>
  </si>
  <si>
    <t>Salário</t>
  </si>
  <si>
    <t>Sugestão de Investimento</t>
  </si>
  <si>
    <t>CONFIGURAÇÕES</t>
  </si>
  <si>
    <t>AGRESSIVO</t>
  </si>
  <si>
    <t>PERFIL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</si>
  <si>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</si>
  <si>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</si>
  <si>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</si>
  <si>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</si>
  <si>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</si>
  <si>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</si>
  <si>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</si>
  <si>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</si>
  <si>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</si>
  <si>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</t>
  </si>
  <si>
    <t>DESENVOLVIMENTO</t>
  </si>
  <si>
    <t>HOTELARIA</t>
  </si>
  <si>
    <t>%</t>
  </si>
  <si>
    <t>CHAVE</t>
  </si>
  <si>
    <t>CONSERVADOR-PAPEL</t>
  </si>
  <si>
    <t>CONSERVADOR-TIJOLO</t>
  </si>
  <si>
    <t>CONSERVADOR-HÍBRIDOS</t>
  </si>
  <si>
    <t>CONSERVADOR-FOF</t>
  </si>
  <si>
    <t>CONSERVADOR-DESENVOLVIMENTO</t>
  </si>
  <si>
    <t>CONSERVADOR-HOTELARIA</t>
  </si>
  <si>
    <t>MODERADO-PAPEL</t>
  </si>
  <si>
    <t>MODERADO-TIJOLO</t>
  </si>
  <si>
    <t>MODERADO-HÍBRIDOS</t>
  </si>
  <si>
    <t>MODERADO-FOF</t>
  </si>
  <si>
    <t>MODERADO-DESENVOLVIMENTO</t>
  </si>
  <si>
    <t>MODERADO-HOTELARIA</t>
  </si>
  <si>
    <t>AGRESSIVO-PAPEL</t>
  </si>
  <si>
    <t>AGRESSIVO-TIJOLO</t>
  </si>
  <si>
    <t>AGRESSIVO-HÍBRIDOS</t>
  </si>
  <si>
    <t>AGRESSIVO-FOF</t>
  </si>
  <si>
    <t>AGRESSIVO-DESENVOLVIMENTO</t>
  </si>
  <si>
    <t>AGRESSIVO-HOTELARIA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</si>
</sst>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thin">
        <color theme="0" tint="-0.14996795556505021"/>
      </right>
      <top style="double">
        <color rgb="FF3F3F3F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rgb="FF3F3F3F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rgb="FF3F3F3F"/>
      </right>
      <top style="double">
        <color rgb="FF3F3F3F"/>
      </top>
      <bottom style="thin">
        <color theme="0" tint="-0.14996795556505021"/>
      </bottom>
      <diagonal/>
    </border>
    <border>
      <left style="double">
        <color rgb="FF3F3F3F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double">
        <color rgb="FF3F3F3F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rgb="FF3F3F3F"/>
      </left>
      <right style="thin">
        <color theme="0" tint="-0.14996795556505021"/>
      </right>
      <top style="thin">
        <color theme="0" tint="-0.14996795556505021"/>
      </top>
      <bottom style="double">
        <color rgb="FF3F3F3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rgb="FF3F3F3F"/>
      </bottom>
      <diagonal/>
    </border>
    <border>
      <left style="thin">
        <color theme="0" tint="-0.14996795556505021"/>
      </left>
      <right style="double">
        <color rgb="FF3F3F3F"/>
      </right>
      <top style="thin">
        <color theme="0" tint="-0.14996795556505021"/>
      </top>
      <bottom style="double">
        <color rgb="FF3F3F3F"/>
      </bottom>
      <diagonal/>
    </border>
    <border>
      <left/>
      <right/>
      <top/>
      <bottom style="thin">
        <color theme="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5" fillId="0" borderId="3" applyNumberFormat="0" applyFill="0" applyAlignment="0" applyProtection="0"/>
  </cellStyleXfs>
  <cellXfs count="59">
    <xf numFmtId="0" fontId="0" fillId="0" borderId="0" xfId="0"/>
    <xf numFmtId="0" fontId="6" fillId="0" borderId="0" xfId="0" applyFont="1"/>
    <xf numFmtId="0" fontId="4" fillId="5" borderId="8" xfId="0" applyFont="1" applyFill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164" fontId="5" fillId="6" borderId="12" xfId="1" applyNumberFormat="1" applyFont="1" applyFill="1" applyBorder="1" applyAlignment="1">
      <alignment horizontal="center" vertical="center"/>
    </xf>
    <xf numFmtId="164" fontId="5" fillId="6" borderId="14" xfId="1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 vertical="center" indent="3"/>
    </xf>
    <xf numFmtId="8" fontId="0" fillId="7" borderId="21" xfId="0" applyNumberFormat="1" applyFill="1" applyBorder="1" applyAlignment="1">
      <alignment horizontal="center" vertical="center"/>
    </xf>
    <xf numFmtId="8" fontId="0" fillId="7" borderId="10" xfId="0" applyNumberForma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left" vertical="center" indent="3"/>
    </xf>
    <xf numFmtId="8" fontId="0" fillId="7" borderId="18" xfId="0" applyNumberFormat="1" applyFill="1" applyBorder="1" applyAlignment="1">
      <alignment horizontal="center" vertical="center"/>
    </xf>
    <xf numFmtId="8" fontId="0" fillId="7" borderId="12" xfId="0" applyNumberForma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left" vertical="center" indent="3"/>
    </xf>
    <xf numFmtId="8" fontId="0" fillId="7" borderId="19" xfId="0" applyNumberFormat="1" applyFill="1" applyBorder="1" applyAlignment="1">
      <alignment horizontal="center" vertical="center"/>
    </xf>
    <xf numFmtId="8" fontId="0" fillId="7" borderId="14" xfId="0" applyNumberFormat="1" applyFill="1" applyBorder="1" applyAlignment="1">
      <alignment horizontal="center" vertical="center"/>
    </xf>
    <xf numFmtId="164" fontId="0" fillId="7" borderId="20" xfId="1" applyNumberFormat="1" applyFont="1" applyFill="1" applyBorder="1" applyAlignment="1">
      <alignment horizontal="center" vertical="center"/>
    </xf>
    <xf numFmtId="10" fontId="0" fillId="7" borderId="12" xfId="1" applyNumberFormat="1" applyFont="1" applyFill="1" applyBorder="1" applyAlignment="1">
      <alignment horizontal="center" vertical="center"/>
    </xf>
    <xf numFmtId="164" fontId="0" fillId="7" borderId="14" xfId="1" applyNumberFormat="1" applyFont="1" applyFill="1" applyBorder="1" applyAlignment="1">
      <alignment horizontal="center" vertical="center"/>
    </xf>
    <xf numFmtId="0" fontId="0" fillId="7" borderId="12" xfId="1" applyNumberFormat="1" applyFont="1" applyFill="1" applyBorder="1" applyAlignment="1">
      <alignment horizontal="center" vertical="center"/>
    </xf>
    <xf numFmtId="0" fontId="2" fillId="2" borderId="0" xfId="2" applyBorder="1" applyAlignment="1">
      <alignment horizontal="left" vertical="center" indent="3"/>
    </xf>
    <xf numFmtId="0" fontId="0" fillId="0" borderId="0" xfId="0" applyAlignment="1">
      <alignment horizontal="center" vertical="center"/>
    </xf>
    <xf numFmtId="0" fontId="4" fillId="4" borderId="2" xfId="4" applyAlignment="1">
      <alignment horizontal="center" vertical="center"/>
    </xf>
    <xf numFmtId="10" fontId="0" fillId="0" borderId="0" xfId="0" applyNumberFormat="1"/>
    <xf numFmtId="0" fontId="0" fillId="0" borderId="15" xfId="0" applyBorder="1"/>
    <xf numFmtId="0" fontId="0" fillId="0" borderId="15" xfId="0" applyBorder="1" applyAlignment="1">
      <alignment horizontal="center" vertical="center"/>
    </xf>
    <xf numFmtId="10" fontId="0" fillId="0" borderId="15" xfId="0" applyNumberFormat="1" applyBorder="1"/>
    <xf numFmtId="164" fontId="4" fillId="4" borderId="22" xfId="4" applyNumberFormat="1" applyBorder="1"/>
    <xf numFmtId="0" fontId="0" fillId="0" borderId="23" xfId="0" applyBorder="1" applyAlignment="1">
      <alignment horizontal="center" vertical="center"/>
    </xf>
    <xf numFmtId="9" fontId="0" fillId="0" borderId="24" xfId="0" applyNumberFormat="1" applyBorder="1"/>
    <xf numFmtId="164" fontId="0" fillId="7" borderId="25" xfId="0" applyNumberFormat="1" applyFill="1" applyBorder="1"/>
    <xf numFmtId="0" fontId="0" fillId="0" borderId="26" xfId="0" applyBorder="1" applyAlignment="1">
      <alignment horizontal="center" vertical="center"/>
    </xf>
    <xf numFmtId="9" fontId="0" fillId="0" borderId="18" xfId="0" applyNumberFormat="1" applyBorder="1"/>
    <xf numFmtId="164" fontId="0" fillId="7" borderId="27" xfId="0" applyNumberFormat="1" applyFill="1" applyBorder="1"/>
    <xf numFmtId="0" fontId="0" fillId="0" borderId="28" xfId="0" applyBorder="1" applyAlignment="1">
      <alignment horizontal="center" vertical="center"/>
    </xf>
    <xf numFmtId="9" fontId="0" fillId="0" borderId="29" xfId="0" applyNumberFormat="1" applyBorder="1"/>
    <xf numFmtId="164" fontId="0" fillId="7" borderId="30" xfId="0" applyNumberFormat="1" applyFill="1" applyBorder="1"/>
    <xf numFmtId="0" fontId="5" fillId="0" borderId="3" xfId="5" applyAlignment="1">
      <alignment horizontal="center"/>
    </xf>
    <xf numFmtId="164" fontId="5" fillId="0" borderId="3" xfId="5" applyNumberFormat="1" applyAlignment="1">
      <alignment horizontal="center"/>
    </xf>
    <xf numFmtId="0" fontId="5" fillId="0" borderId="3" xfId="5"/>
    <xf numFmtId="0" fontId="10" fillId="6" borderId="13" xfId="0" applyFont="1" applyFill="1" applyBorder="1" applyAlignment="1">
      <alignment horizontal="left" vertical="center" indent="3"/>
    </xf>
    <xf numFmtId="0" fontId="10" fillId="6" borderId="19" xfId="0" applyFont="1" applyFill="1" applyBorder="1" applyAlignment="1">
      <alignment horizontal="left" vertical="center" indent="3"/>
    </xf>
    <xf numFmtId="0" fontId="8" fillId="3" borderId="4" xfId="3" applyFont="1" applyBorder="1" applyAlignment="1">
      <alignment horizontal="center" vertical="center"/>
    </xf>
    <xf numFmtId="0" fontId="8" fillId="3" borderId="15" xfId="3" applyFont="1" applyBorder="1" applyAlignment="1">
      <alignment horizontal="center" vertical="center"/>
    </xf>
    <xf numFmtId="0" fontId="8" fillId="3" borderId="5" xfId="3" applyFont="1" applyBorder="1" applyAlignment="1">
      <alignment horizontal="center" vertical="center"/>
    </xf>
    <xf numFmtId="0" fontId="9" fillId="7" borderId="16" xfId="0" applyFont="1" applyFill="1" applyBorder="1" applyAlignment="1">
      <alignment horizontal="left" vertical="center" indent="3"/>
    </xf>
    <xf numFmtId="0" fontId="9" fillId="7" borderId="17" xfId="0" applyFont="1" applyFill="1" applyBorder="1" applyAlignment="1">
      <alignment horizontal="left" vertical="center" indent="3"/>
    </xf>
    <xf numFmtId="0" fontId="9" fillId="7" borderId="11" xfId="0" applyFont="1" applyFill="1" applyBorder="1" applyAlignment="1">
      <alignment horizontal="left" vertical="center" indent="3"/>
    </xf>
    <xf numFmtId="0" fontId="9" fillId="7" borderId="18" xfId="0" applyFont="1" applyFill="1" applyBorder="1" applyAlignment="1">
      <alignment horizontal="left" vertical="center" indent="3"/>
    </xf>
    <xf numFmtId="0" fontId="9" fillId="7" borderId="13" xfId="0" applyFont="1" applyFill="1" applyBorder="1" applyAlignment="1">
      <alignment horizontal="left" vertical="center" indent="3"/>
    </xf>
    <xf numFmtId="0" fontId="9" fillId="7" borderId="19" xfId="0" applyFont="1" applyFill="1" applyBorder="1" applyAlignment="1">
      <alignment horizontal="left" vertical="center" indent="3"/>
    </xf>
    <xf numFmtId="0" fontId="2" fillId="2" borderId="31" xfId="2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left" vertical="center" indent="3"/>
    </xf>
    <xf numFmtId="0" fontId="10" fillId="6" borderId="18" xfId="0" applyFont="1" applyFill="1" applyBorder="1" applyAlignment="1">
      <alignment horizontal="left" vertical="center" indent="3"/>
    </xf>
  </cellXfs>
  <cellStyles count="6">
    <cellStyle name="Célula de Verificação" xfId="4" builtinId="23"/>
    <cellStyle name="Entrada" xfId="3" builtinId="20"/>
    <cellStyle name="Moeda" xfId="1" builtinId="4"/>
    <cellStyle name="Neutro" xfId="2" builtinId="28"/>
    <cellStyle name="Normal" xfId="0" builtinId="0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APP!$C$30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03-443E-9287-2490E2642C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F03-443E-9287-2490E2642C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03-443E-9287-2490E2642C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F03-443E-9287-2490E2642C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03-443E-9287-2490E2642C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F03-443E-9287-2490E2642C3C}"/>
              </c:ext>
            </c:extLst>
          </c:dPt>
          <c:dLbls>
            <c:dLbl>
              <c:idx val="0"/>
              <c:layout>
                <c:manualLayout>
                  <c:x val="9.4444444444444442E-2"/>
                  <c:y val="9.25925925925925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03-443E-9287-2490E2642C3C}"/>
                </c:ext>
              </c:extLst>
            </c:dLbl>
            <c:dLbl>
              <c:idx val="1"/>
              <c:layout>
                <c:manualLayout>
                  <c:x val="-0.05"/>
                  <c:y val="0.1157407407407407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03-443E-9287-2490E2642C3C}"/>
                </c:ext>
              </c:extLst>
            </c:dLbl>
            <c:dLbl>
              <c:idx val="2"/>
              <c:layout>
                <c:manualLayout>
                  <c:x val="-9.444444444444447E-2"/>
                  <c:y val="6.01851851851850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03-443E-9287-2490E2642C3C}"/>
                </c:ext>
              </c:extLst>
            </c:dLbl>
            <c:dLbl>
              <c:idx val="3"/>
              <c:layout>
                <c:manualLayout>
                  <c:x val="-9.4444444444444442E-2"/>
                  <c:y val="1.851851851851860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03-443E-9287-2490E2642C3C}"/>
                </c:ext>
              </c:extLst>
            </c:dLbl>
            <c:dLbl>
              <c:idx val="4"/>
              <c:layout>
                <c:manualLayout>
                  <c:x val="-0.125"/>
                  <c:y val="-2.777777777777782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03-443E-9287-2490E2642C3C}"/>
                </c:ext>
              </c:extLst>
            </c:dLbl>
            <c:dLbl>
              <c:idx val="5"/>
              <c:layout>
                <c:manualLayout>
                  <c:x val="-8.0555555555555561E-2"/>
                  <c:y val="-9.722222222222222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03-443E-9287-2490E2642C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APP!$C$31:$C$36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3-443E-9287-2490E2642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95250</xdr:rowOff>
    </xdr:from>
    <xdr:to>
      <xdr:col>4</xdr:col>
      <xdr:colOff>200025</xdr:colOff>
      <xdr:row>5</xdr:row>
      <xdr:rowOff>133350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701F8924-DB71-D413-16F1-8C1A9BC9BD81}"/>
            </a:ext>
          </a:extLst>
        </xdr:cNvPr>
        <xdr:cNvSpPr/>
      </xdr:nvSpPr>
      <xdr:spPr>
        <a:xfrm>
          <a:off x="114300" y="95250"/>
          <a:ext cx="6915150" cy="990600"/>
        </a:xfrm>
        <a:prstGeom prst="roundRect">
          <a:avLst/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5000" b="0">
              <a:latin typeface="Bauhaus 93" panose="04030905020B02020C02" pitchFamily="82" charset="0"/>
            </a:rPr>
            <a:t>BRUNHARA</a:t>
          </a:r>
          <a:r>
            <a:rPr lang="pt-BR" sz="5000" b="0" baseline="0">
              <a:latin typeface="Bauhaus 93" panose="04030905020B02020C02" pitchFamily="82" charset="0"/>
            </a:rPr>
            <a:t> INVEST</a:t>
          </a:r>
          <a:endParaRPr lang="pt-BR" sz="5000" b="0">
            <a:latin typeface="Bauhaus 93" panose="04030905020B02020C02" pitchFamily="82" charset="0"/>
          </a:endParaRPr>
        </a:p>
      </xdr:txBody>
    </xdr:sp>
    <xdr:clientData/>
  </xdr:twoCellAnchor>
  <xdr:twoCellAnchor editAs="oneCell">
    <xdr:from>
      <xdr:col>1</xdr:col>
      <xdr:colOff>304800</xdr:colOff>
      <xdr:row>1</xdr:row>
      <xdr:rowOff>76200</xdr:rowOff>
    </xdr:from>
    <xdr:to>
      <xdr:col>1</xdr:col>
      <xdr:colOff>1238250</xdr:colOff>
      <xdr:row>5</xdr:row>
      <xdr:rowOff>133350</xdr:rowOff>
    </xdr:to>
    <xdr:pic>
      <xdr:nvPicPr>
        <xdr:cNvPr id="4" name="Imagem 3" descr="Ilustração de cofrinho">
          <a:extLst>
            <a:ext uri="{FF2B5EF4-FFF2-40B4-BE49-F238E27FC236}">
              <a16:creationId xmlns:a16="http://schemas.microsoft.com/office/drawing/2014/main" id="{632E08FB-A40B-C14C-8A1A-51AC427AE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12" t="22523" r="27771"/>
        <a:stretch>
          <a:fillRect/>
        </a:stretch>
      </xdr:blipFill>
      <xdr:spPr>
        <a:xfrm>
          <a:off x="590550" y="266700"/>
          <a:ext cx="933450" cy="819150"/>
        </a:xfrm>
        <a:prstGeom prst="rect">
          <a:avLst/>
        </a:prstGeom>
      </xdr:spPr>
    </xdr:pic>
    <xdr:clientData/>
  </xdr:twoCellAnchor>
  <xdr:twoCellAnchor editAs="absolute">
    <xdr:from>
      <xdr:col>1</xdr:col>
      <xdr:colOff>914400</xdr:colOff>
      <xdr:row>36</xdr:row>
      <xdr:rowOff>52387</xdr:rowOff>
    </xdr:from>
    <xdr:to>
      <xdr:col>2</xdr:col>
      <xdr:colOff>2047875</xdr:colOff>
      <xdr:row>50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D504D5-B523-3011-2C20-8104CFB41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8B22-9B72-40F7-B298-355DDB3D1150}">
  <dimension ref="A1:H64"/>
  <sheetViews>
    <sheetView showGridLines="0" tabSelected="1" workbookViewId="0">
      <selection activeCell="E45" sqref="E45"/>
    </sheetView>
  </sheetViews>
  <sheetFormatPr defaultColWidth="0" defaultRowHeight="15" zeroHeight="1" x14ac:dyDescent="0.25"/>
  <cols>
    <col min="1" max="1" width="4.28515625" customWidth="1"/>
    <col min="2" max="2" width="51.5703125" customWidth="1"/>
    <col min="3" max="3" width="31" customWidth="1"/>
    <col min="4" max="5" width="15.5703125" customWidth="1"/>
    <col min="6" max="6" width="23.7109375" hidden="1" customWidth="1"/>
    <col min="7" max="8" width="12.140625" hidden="1" customWidth="1"/>
    <col min="9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ht="15.75" thickBot="1" x14ac:dyDescent="0.3"/>
    <row r="7" spans="2:4" x14ac:dyDescent="0.25">
      <c r="B7" s="42" t="s">
        <v>16</v>
      </c>
      <c r="C7" s="43"/>
      <c r="D7" s="44"/>
    </row>
    <row r="8" spans="2:4" ht="15.75" x14ac:dyDescent="0.25">
      <c r="B8" s="45" t="s">
        <v>14</v>
      </c>
      <c r="C8" s="46"/>
      <c r="D8" s="3">
        <v>2000</v>
      </c>
    </row>
    <row r="9" spans="2:4" ht="15.75" x14ac:dyDescent="0.25">
      <c r="B9" s="47" t="s">
        <v>13</v>
      </c>
      <c r="C9" s="48"/>
      <c r="D9" s="4">
        <v>6.0000000000000001E-3</v>
      </c>
    </row>
    <row r="10" spans="2:4" ht="16.5" thickBot="1" x14ac:dyDescent="0.3">
      <c r="B10" s="49" t="s">
        <v>15</v>
      </c>
      <c r="C10" s="50"/>
      <c r="D10" s="18">
        <f>D8*30%</f>
        <v>600</v>
      </c>
    </row>
    <row r="11" spans="2:4" ht="15.75" thickBot="1" x14ac:dyDescent="0.3"/>
    <row r="12" spans="2:4" ht="22.5" customHeight="1" x14ac:dyDescent="0.25">
      <c r="B12" s="54" t="s">
        <v>5</v>
      </c>
      <c r="C12" s="55"/>
      <c r="D12" s="56"/>
    </row>
    <row r="13" spans="2:4" ht="15.75" x14ac:dyDescent="0.25">
      <c r="B13" s="45" t="s">
        <v>0</v>
      </c>
      <c r="C13" s="46"/>
      <c r="D13" s="16">
        <v>200</v>
      </c>
    </row>
    <row r="14" spans="2:4" ht="15.75" x14ac:dyDescent="0.25">
      <c r="B14" s="47" t="s">
        <v>1</v>
      </c>
      <c r="C14" s="48"/>
      <c r="D14" s="19">
        <v>5</v>
      </c>
    </row>
    <row r="15" spans="2:4" ht="15.75" x14ac:dyDescent="0.25">
      <c r="B15" s="47" t="s">
        <v>2</v>
      </c>
      <c r="C15" s="48"/>
      <c r="D15" s="17">
        <v>1.0789999999999999E-2</v>
      </c>
    </row>
    <row r="16" spans="2:4" ht="15.75" x14ac:dyDescent="0.25">
      <c r="B16" s="57" t="s">
        <v>3</v>
      </c>
      <c r="C16" s="58"/>
      <c r="D16" s="5">
        <f>FV(Taxa_Mensal,Periodo*12,Aporte*-1)</f>
        <v>16755.382799697527</v>
      </c>
    </row>
    <row r="17" spans="1:4" ht="16.5" thickBot="1" x14ac:dyDescent="0.3">
      <c r="B17" s="40" t="s">
        <v>4</v>
      </c>
      <c r="C17" s="41"/>
      <c r="D17" s="6">
        <f>Patrimonio*Rendimento_Carteira</f>
        <v>100.53229679818516</v>
      </c>
    </row>
    <row r="18" spans="1:4" ht="15.75" thickBot="1" x14ac:dyDescent="0.3"/>
    <row r="19" spans="1:4" ht="21.75" thickBot="1" x14ac:dyDescent="0.3">
      <c r="B19" s="52" t="s">
        <v>6</v>
      </c>
      <c r="C19" s="53"/>
      <c r="D19" s="2" t="s">
        <v>12</v>
      </c>
    </row>
    <row r="20" spans="1:4" ht="15.75" x14ac:dyDescent="0.25">
      <c r="A20" s="1">
        <v>2</v>
      </c>
      <c r="B20" s="7" t="s">
        <v>7</v>
      </c>
      <c r="C20" s="8">
        <f>FV($D$15,$A20*12,$D$13)*-1</f>
        <v>5445.5254595290435</v>
      </c>
      <c r="D20" s="9">
        <f>C20*Rendimento_Carteira</f>
        <v>32.673152757174265</v>
      </c>
    </row>
    <row r="21" spans="1:4" ht="15.75" x14ac:dyDescent="0.25">
      <c r="A21" s="1">
        <v>5</v>
      </c>
      <c r="B21" s="10" t="s">
        <v>8</v>
      </c>
      <c r="C21" s="11">
        <f>FV($D$15,$A21*12,$D$13)*-1</f>
        <v>16755.382799697527</v>
      </c>
      <c r="D21" s="12">
        <f>C21*Rendimento_Carteira</f>
        <v>100.53229679818516</v>
      </c>
    </row>
    <row r="22" spans="1:4" ht="15.75" x14ac:dyDescent="0.25">
      <c r="A22" s="1">
        <v>10</v>
      </c>
      <c r="B22" s="10" t="s">
        <v>9</v>
      </c>
      <c r="C22" s="11">
        <f>FV($D$15,$A22*12,$D$13)*-1</f>
        <v>48656.842506034438</v>
      </c>
      <c r="D22" s="12">
        <f>C22*Rendimento_Carteira</f>
        <v>291.94105503620665</v>
      </c>
    </row>
    <row r="23" spans="1:4" ht="15.75" x14ac:dyDescent="0.25">
      <c r="A23" s="1">
        <v>20</v>
      </c>
      <c r="B23" s="10" t="s">
        <v>10</v>
      </c>
      <c r="C23" s="11">
        <f>FV($D$15,$A23*12,$D$13)*-1</f>
        <v>225039.68001941612</v>
      </c>
      <c r="D23" s="12">
        <f>C23*Rendimento_Carteira</f>
        <v>1350.2380801164968</v>
      </c>
    </row>
    <row r="24" spans="1:4" ht="16.5" thickBot="1" x14ac:dyDescent="0.3">
      <c r="A24" s="1">
        <v>30</v>
      </c>
      <c r="B24" s="13" t="s">
        <v>11</v>
      </c>
      <c r="C24" s="14">
        <f>FV($D$15,$A24*12,$D$13)*-1</f>
        <v>864433.93100094295</v>
      </c>
      <c r="D24" s="15">
        <f>C24*Rendimento_Carteira</f>
        <v>5186.6035860056581</v>
      </c>
    </row>
    <row r="25" spans="1:4" x14ac:dyDescent="0.25"/>
    <row r="26" spans="1:4" x14ac:dyDescent="0.25"/>
    <row r="27" spans="1:4" x14ac:dyDescent="0.25">
      <c r="B27" s="20" t="s">
        <v>18</v>
      </c>
      <c r="C27" s="51" t="s">
        <v>17</v>
      </c>
      <c r="D27" s="51"/>
    </row>
    <row r="28" spans="1:4" ht="15.75" thickBot="1" x14ac:dyDescent="0.3">
      <c r="B28" s="37" t="s">
        <v>21</v>
      </c>
      <c r="C28" s="38">
        <f>Aporte</f>
        <v>200</v>
      </c>
      <c r="D28" s="39"/>
    </row>
    <row r="29" spans="1:4" ht="16.5" thickTop="1" thickBot="1" x14ac:dyDescent="0.3"/>
    <row r="30" spans="1:4" ht="16.5" thickTop="1" thickBot="1" x14ac:dyDescent="0.3">
      <c r="B30" s="22" t="s">
        <v>22</v>
      </c>
      <c r="C30" s="22" t="s">
        <v>23</v>
      </c>
      <c r="D30" s="22" t="s">
        <v>24</v>
      </c>
    </row>
    <row r="31" spans="1:4" ht="15.75" thickTop="1" x14ac:dyDescent="0.25">
      <c r="B31" s="28" t="s">
        <v>25</v>
      </c>
      <c r="C31" s="29">
        <f>VLOOKUP($C$27&amp;"-"&amp;B31,'TABELA DE APOIO'!$B:$E,4,FALSE)</f>
        <v>0.5</v>
      </c>
      <c r="D31" s="30">
        <f>$C$28*C31</f>
        <v>100</v>
      </c>
    </row>
    <row r="32" spans="1:4" x14ac:dyDescent="0.25">
      <c r="B32" s="31" t="s">
        <v>26</v>
      </c>
      <c r="C32" s="32">
        <f>VLOOKUP($C$27&amp;"-"&amp;B32,'TABELA DE APOIO'!$B:$E,4,FALSE)</f>
        <v>0.1</v>
      </c>
      <c r="D32" s="33">
        <f t="shared" ref="D32:D36" si="0">$C$28*C32</f>
        <v>20</v>
      </c>
    </row>
    <row r="33" spans="2:4" x14ac:dyDescent="0.25">
      <c r="B33" s="31" t="s">
        <v>27</v>
      </c>
      <c r="C33" s="32">
        <f>VLOOKUP($C$27&amp;"-"&amp;B33,'TABELA DE APOIO'!$B:$E,4,FALSE)</f>
        <v>0.05</v>
      </c>
      <c r="D33" s="33">
        <f t="shared" si="0"/>
        <v>10</v>
      </c>
    </row>
    <row r="34" spans="2:4" x14ac:dyDescent="0.25">
      <c r="B34" s="31" t="s">
        <v>28</v>
      </c>
      <c r="C34" s="32">
        <f>VLOOKUP($C$27&amp;"-"&amp;B34,'TABELA DE APOIO'!$B:$E,4,FALSE)</f>
        <v>0.05</v>
      </c>
      <c r="D34" s="33">
        <f t="shared" si="0"/>
        <v>10</v>
      </c>
    </row>
    <row r="35" spans="2:4" x14ac:dyDescent="0.25">
      <c r="B35" s="31" t="s">
        <v>29</v>
      </c>
      <c r="C35" s="32">
        <f>VLOOKUP($C$27&amp;"-"&amp;B35,'TABELA DE APOIO'!$B:$E,4,FALSE)</f>
        <v>0.2</v>
      </c>
      <c r="D35" s="33">
        <f t="shared" si="0"/>
        <v>40</v>
      </c>
    </row>
    <row r="36" spans="2:4" ht="15.75" thickBot="1" x14ac:dyDescent="0.3">
      <c r="B36" s="34" t="s">
        <v>30</v>
      </c>
      <c r="C36" s="35">
        <f>VLOOKUP($C$27&amp;"-"&amp;B36,'TABELA DE APOIO'!$B:$E,4,FALSE)</f>
        <v>0.1</v>
      </c>
      <c r="D36" s="36">
        <f t="shared" si="0"/>
        <v>20</v>
      </c>
    </row>
    <row r="37" spans="2:4" ht="16.5" thickTop="1" thickBot="1" x14ac:dyDescent="0.3">
      <c r="D37" s="27">
        <f>SUM(D31:D36)</f>
        <v>200</v>
      </c>
    </row>
    <row r="38" spans="2:4" ht="15.75" thickTop="1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</sheetData>
  <mergeCells count="12">
    <mergeCell ref="C27:D27"/>
    <mergeCell ref="B19:C19"/>
    <mergeCell ref="B12:D12"/>
    <mergeCell ref="B13:C13"/>
    <mergeCell ref="B14:C14"/>
    <mergeCell ref="B15:C15"/>
    <mergeCell ref="B16:C16"/>
    <mergeCell ref="B17:C17"/>
    <mergeCell ref="B7:D7"/>
    <mergeCell ref="B8:C8"/>
    <mergeCell ref="B9:C9"/>
    <mergeCell ref="B10:C10"/>
  </mergeCells>
  <dataValidations count="1">
    <dataValidation type="list" allowBlank="1" showInputMessage="1" showErrorMessage="1" sqref="C27" xr:uid="{B866CCB0-E084-484E-AAE8-C2F4E654C7DF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1796-050E-4007-8E93-208C0357869E}">
  <dimension ref="B2:E20"/>
  <sheetViews>
    <sheetView workbookViewId="0">
      <selection activeCell="E13" sqref="E13"/>
    </sheetView>
  </sheetViews>
  <sheetFormatPr defaultRowHeight="15" x14ac:dyDescent="0.25"/>
  <cols>
    <col min="2" max="2" width="33" bestFit="1" customWidth="1"/>
    <col min="3" max="3" width="14.42578125" bestFit="1" customWidth="1"/>
    <col min="4" max="4" width="18.5703125" bestFit="1" customWidth="1"/>
  </cols>
  <sheetData>
    <row r="2" spans="2:5" x14ac:dyDescent="0.25">
      <c r="B2" t="s">
        <v>32</v>
      </c>
      <c r="C2" t="s">
        <v>18</v>
      </c>
      <c r="D2" t="s">
        <v>22</v>
      </c>
      <c r="E2" t="s">
        <v>31</v>
      </c>
    </row>
    <row r="3" spans="2:5" x14ac:dyDescent="0.25">
      <c r="B3" t="s">
        <v>33</v>
      </c>
      <c r="C3" t="s">
        <v>20</v>
      </c>
      <c r="D3" s="21" t="s">
        <v>25</v>
      </c>
      <c r="E3" s="23">
        <v>0.3</v>
      </c>
    </row>
    <row r="4" spans="2:5" x14ac:dyDescent="0.25">
      <c r="B4" t="s">
        <v>34</v>
      </c>
      <c r="C4" t="s">
        <v>20</v>
      </c>
      <c r="D4" s="21" t="s">
        <v>26</v>
      </c>
      <c r="E4" s="23">
        <v>0.5</v>
      </c>
    </row>
    <row r="5" spans="2:5" x14ac:dyDescent="0.25">
      <c r="B5" t="s">
        <v>35</v>
      </c>
      <c r="C5" t="s">
        <v>20</v>
      </c>
      <c r="D5" s="21" t="s">
        <v>27</v>
      </c>
      <c r="E5" s="23">
        <v>0.1</v>
      </c>
    </row>
    <row r="6" spans="2:5" x14ac:dyDescent="0.25">
      <c r="B6" t="s">
        <v>36</v>
      </c>
      <c r="C6" t="s">
        <v>20</v>
      </c>
      <c r="D6" s="21" t="s">
        <v>28</v>
      </c>
      <c r="E6" s="23">
        <v>0.1</v>
      </c>
    </row>
    <row r="7" spans="2:5" x14ac:dyDescent="0.25">
      <c r="B7" t="s">
        <v>37</v>
      </c>
      <c r="C7" t="s">
        <v>20</v>
      </c>
      <c r="D7" s="21" t="s">
        <v>29</v>
      </c>
      <c r="E7" s="23">
        <v>0</v>
      </c>
    </row>
    <row r="8" spans="2:5" ht="15.75" thickBot="1" x14ac:dyDescent="0.3">
      <c r="B8" t="s">
        <v>38</v>
      </c>
      <c r="C8" t="s">
        <v>20</v>
      </c>
      <c r="D8" s="21" t="s">
        <v>30</v>
      </c>
      <c r="E8" s="23">
        <v>0</v>
      </c>
    </row>
    <row r="9" spans="2:5" x14ac:dyDescent="0.25">
      <c r="B9" s="24" t="s">
        <v>39</v>
      </c>
      <c r="C9" s="24" t="s">
        <v>19</v>
      </c>
      <c r="D9" s="25" t="s">
        <v>25</v>
      </c>
      <c r="E9" s="26">
        <v>0.32</v>
      </c>
    </row>
    <row r="10" spans="2:5" x14ac:dyDescent="0.25">
      <c r="B10" t="s">
        <v>40</v>
      </c>
      <c r="C10" t="s">
        <v>19</v>
      </c>
      <c r="D10" s="21" t="s">
        <v>26</v>
      </c>
      <c r="E10" s="23">
        <v>0.35</v>
      </c>
    </row>
    <row r="11" spans="2:5" x14ac:dyDescent="0.25">
      <c r="B11" t="s">
        <v>41</v>
      </c>
      <c r="C11" t="s">
        <v>19</v>
      </c>
      <c r="D11" s="21" t="s">
        <v>27</v>
      </c>
      <c r="E11" s="23">
        <v>0.08</v>
      </c>
    </row>
    <row r="12" spans="2:5" x14ac:dyDescent="0.25">
      <c r="B12" t="s">
        <v>42</v>
      </c>
      <c r="C12" t="s">
        <v>19</v>
      </c>
      <c r="D12" s="21" t="s">
        <v>28</v>
      </c>
      <c r="E12" s="23">
        <v>0.05</v>
      </c>
    </row>
    <row r="13" spans="2:5" x14ac:dyDescent="0.25">
      <c r="B13" t="s">
        <v>43</v>
      </c>
      <c r="C13" t="s">
        <v>19</v>
      </c>
      <c r="D13" s="21" t="s">
        <v>29</v>
      </c>
      <c r="E13" s="23">
        <v>0.1</v>
      </c>
    </row>
    <row r="14" spans="2:5" ht="15.75" thickBot="1" x14ac:dyDescent="0.3">
      <c r="B14" t="s">
        <v>44</v>
      </c>
      <c r="C14" t="s">
        <v>19</v>
      </c>
      <c r="D14" s="21" t="s">
        <v>30</v>
      </c>
      <c r="E14" s="23">
        <v>0.1</v>
      </c>
    </row>
    <row r="15" spans="2:5" x14ac:dyDescent="0.25">
      <c r="B15" s="24" t="s">
        <v>45</v>
      </c>
      <c r="C15" s="24" t="s">
        <v>17</v>
      </c>
      <c r="D15" s="25" t="s">
        <v>25</v>
      </c>
      <c r="E15" s="26">
        <v>0.5</v>
      </c>
    </row>
    <row r="16" spans="2:5" x14ac:dyDescent="0.25">
      <c r="B16" t="s">
        <v>46</v>
      </c>
      <c r="C16" t="s">
        <v>17</v>
      </c>
      <c r="D16" s="21" t="s">
        <v>26</v>
      </c>
      <c r="E16" s="23">
        <v>0.1</v>
      </c>
    </row>
    <row r="17" spans="2:5" x14ac:dyDescent="0.25">
      <c r="B17" t="s">
        <v>47</v>
      </c>
      <c r="C17" t="s">
        <v>17</v>
      </c>
      <c r="D17" s="21" t="s">
        <v>27</v>
      </c>
      <c r="E17" s="23">
        <v>0.05</v>
      </c>
    </row>
    <row r="18" spans="2:5" x14ac:dyDescent="0.25">
      <c r="B18" t="s">
        <v>48</v>
      </c>
      <c r="C18" t="s">
        <v>17</v>
      </c>
      <c r="D18" s="21" t="s">
        <v>28</v>
      </c>
      <c r="E18" s="23">
        <v>0.05</v>
      </c>
    </row>
    <row r="19" spans="2:5" x14ac:dyDescent="0.25">
      <c r="B19" t="s">
        <v>49</v>
      </c>
      <c r="C19" t="s">
        <v>17</v>
      </c>
      <c r="D19" s="21" t="s">
        <v>29</v>
      </c>
      <c r="E19" s="23">
        <v>0.2</v>
      </c>
    </row>
    <row r="20" spans="2:5" x14ac:dyDescent="0.25">
      <c r="B20" t="s">
        <v>50</v>
      </c>
      <c r="C20" t="s">
        <v>17</v>
      </c>
      <c r="D20" s="21" t="s">
        <v>30</v>
      </c>
      <c r="E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TABELA DE APOIO</vt:lpstr>
      <vt:lpstr>Aporte</vt:lpstr>
      <vt:lpstr>Patrimonio</vt:lpstr>
      <vt:lpstr>Periodo</vt:lpstr>
      <vt:lpstr>Rendimento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Lima</dc:creator>
  <cp:lastModifiedBy>Bruno Lima</cp:lastModifiedBy>
  <dcterms:created xsi:type="dcterms:W3CDTF">2026-01-16T22:17:39Z</dcterms:created>
  <dcterms:modified xsi:type="dcterms:W3CDTF">2026-01-19T23:43:30Z</dcterms:modified>
</cp:coreProperties>
</file>